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0" windowWidth="20490" windowHeight="7755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9" l="1"/>
  <c r="D13" i="19"/>
  <c r="D14" i="19"/>
  <c r="D15" i="19"/>
  <c r="D16" i="19"/>
  <c r="D17" i="19"/>
  <c r="D18" i="19"/>
  <c r="D19" i="19"/>
  <c r="D20" i="19"/>
  <c r="D21" i="19"/>
  <c r="D1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6" i="16"/>
  <c r="E16" i="16"/>
  <c r="D16" i="16"/>
  <c r="C16" i="16"/>
  <c r="B16" i="16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6" i="18"/>
  <c r="H41" i="1"/>
  <c r="C34" i="20"/>
  <c r="C30" i="20"/>
  <c r="C24" i="20"/>
  <c r="C26" i="20"/>
  <c r="C32" i="20"/>
  <c r="C23" i="20"/>
  <c r="C33" i="20"/>
  <c r="C25" i="20"/>
  <c r="C31" i="20"/>
  <c r="C35" i="20"/>
  <c r="C29" i="20"/>
  <c r="C28" i="20"/>
  <c r="C27" i="20"/>
</calcChain>
</file>

<file path=xl/sharedStrings.xml><?xml version="1.0" encoding="utf-8"?>
<sst xmlns="http://schemas.openxmlformats.org/spreadsheetml/2006/main" count="329" uniqueCount="184">
  <si>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</si>
  <si>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</si>
  <si>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</si>
  <si>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</si>
  <si>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</si>
  <si>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</si>
  <si>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</si>
  <si>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</si>
  <si>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</si>
  <si>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</si>
  <si>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</si>
  <si>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</si>
  <si>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</si>
  <si>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</si>
  <si>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</si>
  <si>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</si>
  <si>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</si>
  <si>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</si>
  <si>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</si>
  <si>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</si>
  <si>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</si>
  <si>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</si>
  <si>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</si>
  <si>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</si>
  <si>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</si>
  <si>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</si>
  <si>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</si>
  <si>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</si>
  <si>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</si>
  <si>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</si>
  <si>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</si>
  <si>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</si>
  <si>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</si>
  <si>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</si>
  <si>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</si>
  <si>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</si>
  <si>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</si>
  <si>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</si>
  <si>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</si>
  <si>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</si>
  <si>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</si>
  <si>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</si>
  <si>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</si>
  <si>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</si>
  <si>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</si>
  <si>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</si>
  <si>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</si>
  <si>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</si>
  <si>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</si>
  <si>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</si>
  <si>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</si>
  <si>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</si>
  <si>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</si>
  <si>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</si>
  <si>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</si>
  <si>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</si>
  <si>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</si>
  <si>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</si>
  <si>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</si>
  <si>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</si>
  <si>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</si>
  <si>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</si>
  <si>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</si>
  <si>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</si>
  <si>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</si>
  <si>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</si>
  <si>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</si>
  <si>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</si>
  <si>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</si>
  <si>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</si>
  <si>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</si>
  <si>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</si>
  <si>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</si>
  <si>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</si>
  <si>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</si>
  <si>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</si>
  <si>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</si>
  <si>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</si>
  <si>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</si>
  <si>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</si>
  <si>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</si>
  <si>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</si>
  <si>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</si>
  <si>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</si>
  <si>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</si>
  <si>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</si>
  <si>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</si>
  <si>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</si>
  <si>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</si>
  <si>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</si>
  <si>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</si>
  <si>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</si>
  <si>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</si>
  <si>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</si>
  <si>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</si>
  <si>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</si>
  <si>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</si>
  <si>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</si>
  <si>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</si>
  <si>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</si>
  <si>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</si>
  <si>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</si>
  <si>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</si>
  <si>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</si>
  <si>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</si>
  <si>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</si>
  <si>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</si>
  <si>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</si>
  <si>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</si>
  <si>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</si>
  <si>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</si>
  <si>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</si>
  <si>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</si>
  <si>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</si>
  <si>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</si>
  <si>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</si>
  <si>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</si>
  <si>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</si>
  <si>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</si>
  <si>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</si>
  <si>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</si>
  <si>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</si>
  <si>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</si>
  <si>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</si>
  <si>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</si>
  <si>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</si>
  <si>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</si>
  <si>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</si>
  <si>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</si>
  <si>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</si>
  <si>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</si>
  <si>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</si>
  <si>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</si>
  <si>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</si>
  <si>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</si>
  <si>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</si>
  <si>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</si>
  <si>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</si>
  <si>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</si>
  <si>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</si>
  <si>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</si>
  <si>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</si>
  <si>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</si>
  <si>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</si>
  <si>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</si>
  <si>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</si>
  <si>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</si>
  <si>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</si>
  <si>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</si>
  <si>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</si>
  <si>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</si>
  <si>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</si>
  <si>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</si>
  <si>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</si>
  <si>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</si>
  <si>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</si>
  <si>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</si>
  <si>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</si>
  <si>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</si>
  <si>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</si>
  <si>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</si>
  <si>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</si>
  <si>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</si>
  <si>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</si>
  <si>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</si>
  <si>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</si>
  <si>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</si>
  <si>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</si>
  <si>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</si>
  <si>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</si>
  <si>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</si>
  <si>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</si>
  <si>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</si>
  <si>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</si>
  <si>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</si>
  <si>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</si>
  <si>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</si>
  <si>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formula = =SUMIF(H2:H40, "&gt;20")</t>
  </si>
  <si>
    <t>sales</t>
  </si>
  <si>
    <t>VLOOKUP()</t>
  </si>
  <si>
    <t xml:space="preserve">doing method chaining using VLOOKUP() </t>
  </si>
  <si>
    <t>IFERROR(cell address,value to replace)</t>
  </si>
  <si>
    <t>using IFERROR() we check if that cell has #N/A then fill the current cell by 20 if true orelse fill original data present in the cell</t>
  </si>
  <si>
    <t>This formula is using a combination of functions to extract a specific portion of text from cell A16, which contains the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</si>
</sst>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6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18" fillId="7" borderId="0" xfId="0" applyFont="1" applyFill="1"/>
    <xf numFmtId="0" fontId="18" fillId="8" borderId="9" xfId="0" applyFont="1" applyFill="1" applyBorder="1"/>
    <xf numFmtId="0" fontId="18" fillId="8" borderId="10" xfId="0" applyFont="1" applyFill="1" applyBorder="1"/>
    <xf numFmtId="0" fontId="18" fillId="8" borderId="11" xfId="0" applyFont="1" applyFill="1" applyBorder="1"/>
    <xf numFmtId="0" fontId="7" fillId="6" borderId="12" xfId="0" applyFont="1" applyFill="1" applyBorder="1"/>
    <xf numFmtId="0" fontId="9" fillId="6" borderId="13" xfId="0" applyFont="1" applyFill="1" applyBorder="1"/>
    <xf numFmtId="0" fontId="9" fillId="6" borderId="14" xfId="0" applyFont="1" applyFill="1" applyBorder="1"/>
    <xf numFmtId="0" fontId="7" fillId="6" borderId="4" xfId="0" applyFont="1" applyFill="1" applyBorder="1"/>
    <xf numFmtId="0" fontId="9" fillId="6" borderId="5" xfId="0" applyFont="1" applyFill="1" applyBorder="1"/>
    <xf numFmtId="0" fontId="9" fillId="6" borderId="6" xfId="0" applyFont="1" applyFill="1" applyBorder="1"/>
    <xf numFmtId="0" fontId="9" fillId="6" borderId="15" xfId="0" applyFont="1" applyFill="1" applyBorder="1"/>
    <xf numFmtId="0" fontId="17" fillId="8" borderId="9" xfId="0" applyFont="1" applyFill="1" applyBorder="1"/>
    <xf numFmtId="0" fontId="3" fillId="8" borderId="11" xfId="0" applyFont="1" applyFill="1" applyBorder="1"/>
    <xf numFmtId="0" fontId="9" fillId="6" borderId="9" xfId="0" applyFont="1" applyFill="1" applyBorder="1" applyAlignment="1">
      <alignment horizontal="center"/>
    </xf>
    <xf numFmtId="0" fontId="9" fillId="6" borderId="10" xfId="0" applyFont="1" applyFill="1" applyBorder="1" applyAlignment="1">
      <alignment horizontal="center"/>
    </xf>
    <xf numFmtId="0" fontId="9" fillId="6" borderId="11" xfId="0" applyFont="1" applyFill="1" applyBorder="1" applyAlignment="1">
      <alignment horizontal="center"/>
    </xf>
    <xf numFmtId="0" fontId="8" fillId="0" borderId="8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7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4" t="s">
        <v>170</v>
      </c>
      <c r="B9" s="25" t="s">
        <v>168</v>
      </c>
    </row>
    <row r="10" spans="1:3" x14ac:dyDescent="0.2">
      <c r="A10" s="33" t="s">
        <v>171</v>
      </c>
      <c r="B10" s="35">
        <v>25</v>
      </c>
    </row>
    <row r="11" spans="1:3" x14ac:dyDescent="0.2">
      <c r="A11" s="33" t="s">
        <v>55</v>
      </c>
      <c r="B11" s="35">
        <v>30</v>
      </c>
    </row>
    <row r="12" spans="1:3" x14ac:dyDescent="0.2">
      <c r="A12" s="33" t="s">
        <v>56</v>
      </c>
      <c r="B12" s="35">
        <v>10</v>
      </c>
    </row>
    <row r="13" spans="1:3" x14ac:dyDescent="0.2">
      <c r="A13" s="33" t="s">
        <v>85</v>
      </c>
      <c r="B13" s="35">
        <v>20</v>
      </c>
    </row>
    <row r="14" spans="1:3" x14ac:dyDescent="0.2">
      <c r="A14" s="33" t="s">
        <v>98</v>
      </c>
      <c r="B14" s="35">
        <v>40</v>
      </c>
    </row>
    <row r="15" spans="1:3" x14ac:dyDescent="0.2">
      <c r="A15" s="36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A22" zoomScaleNormal="100" workbookViewId="0">
      <selection activeCell="H41" sqref="H4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4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</row>
    <row r="41" spans="1:24" x14ac:dyDescent="0.25">
      <c r="H41" s="18">
        <f>SUMIF(H2:H40, "&gt;20")</f>
        <v>1473.0000000000002</v>
      </c>
    </row>
  </sheetData>
  <conditionalFormatting sqref="A1:A1048576">
    <cfRule type="duplicateValues" dxfId="8" priority="10"/>
  </conditionalFormatting>
  <conditionalFormatting sqref="B1:B1048576">
    <cfRule type="duplicateValues" dxfId="7" priority="9"/>
  </conditionalFormatting>
  <conditionalFormatting sqref="A1">
    <cfRule type="cellIs" dxfId="6" priority="8" operator="equal">
      <formula>-1</formula>
    </cfRule>
  </conditionalFormatting>
  <conditionalFormatting sqref="J1:L1048576">
    <cfRule type="expression" dxfId="5" priority="7">
      <formula>"OR($J:$J,$K:$K,$L:$L)"</formula>
    </cfRule>
  </conditionalFormatting>
  <conditionalFormatting sqref="J1:L1048576">
    <cfRule type="cellIs" dxfId="4" priority="6" operator="equal">
      <formula>-1</formula>
    </cfRule>
  </conditionalFormatting>
  <conditionalFormatting sqref="G12">
    <cfRule type="cellIs" priority="5" operator="equal">
      <formula>0</formula>
    </cfRule>
    <cfRule type="containsText" dxfId="3" priority="4" operator="containsText" text="0">
      <formula>NOT(ISERROR(SEARCH("0",G12)))</formula>
    </cfRule>
  </conditionalFormatting>
  <conditionalFormatting sqref="G12:W12">
    <cfRule type="cellIs" dxfId="2" priority="3" operator="equal">
      <formula>0</formula>
    </cfRule>
  </conditionalFormatting>
  <conditionalFormatting sqref="G26:W26">
    <cfRule type="cellIs" dxfId="1" priority="2" operator="equal">
      <formula>0</formula>
    </cfRule>
  </conditionalFormatting>
  <conditionalFormatting sqref="G30:I30 G32:I32 M30:W30 M32:W32"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9" sqref="C9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56" t="s">
        <v>177</v>
      </c>
      <c r="D5" s="57"/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I20" sqref="I2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 x14ac:dyDescent="0.35">
      <c r="A1" s="40" t="s">
        <v>55</v>
      </c>
      <c r="B1" s="39" t="s">
        <v>163</v>
      </c>
    </row>
    <row r="2" spans="1:7" s="39" customFormat="1" ht="21" x14ac:dyDescent="0.35">
      <c r="B2" s="39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161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VLOOKUP(A6,Dataset!A:X,7,FALSE)</f>
        <v>2.7</v>
      </c>
      <c r="C6" s="11">
        <f>VLOOKUP(A6,Dataset!A:X,14,FALSE)</f>
        <v>7.6</v>
      </c>
      <c r="D6" s="11">
        <f>VLOOKUP(A6,Dataset!A:X,18,FALSE)</f>
        <v>4.2</v>
      </c>
      <c r="E6" s="11">
        <f>VLOOKUP(A6,Dataset!A:X,20,FALSE)</f>
        <v>8.9</v>
      </c>
      <c r="F6" s="8">
        <f>VLOOKUP(A6,Dataset!A:X,22,FALSE)</f>
        <v>4.2</v>
      </c>
    </row>
    <row r="7" spans="1:7" ht="15" x14ac:dyDescent="0.25">
      <c r="A7" s="7" t="s">
        <v>4</v>
      </c>
      <c r="B7" s="11">
        <f>VLOOKUP(A7,Dataset!A:X,7,FALSE)</f>
        <v>2.7</v>
      </c>
      <c r="C7" s="11">
        <f>VLOOKUP(A7,Dataset!A:X,14,FALSE)</f>
        <v>7.6</v>
      </c>
      <c r="D7" s="11">
        <f>VLOOKUP(A7,Dataset!A:X,18,FALSE)</f>
        <v>4.2</v>
      </c>
      <c r="E7" s="11">
        <f>VLOOKUP(A7,Dataset!A:X,20,FALSE)</f>
        <v>8.9</v>
      </c>
      <c r="F7" s="8">
        <f>VLOOKUP(A7,Dataset!A:X,22,FALSE)</f>
        <v>4.2</v>
      </c>
    </row>
    <row r="8" spans="1:7" ht="15" x14ac:dyDescent="0.25">
      <c r="A8" s="7" t="s">
        <v>7</v>
      </c>
      <c r="B8" s="11">
        <f>VLOOKUP(A8,Dataset!A:X,7,FALSE)</f>
        <v>3.6</v>
      </c>
      <c r="C8" s="11">
        <f>VLOOKUP(A8,Dataset!A:X,14,FALSE)</f>
        <v>11.1</v>
      </c>
      <c r="D8" s="11">
        <f>VLOOKUP(A8,Dataset!A:X,18,FALSE)</f>
        <v>5.8</v>
      </c>
      <c r="E8" s="11">
        <f>VLOOKUP(A8,Dataset!A:X,20,FALSE)</f>
        <v>12.2</v>
      </c>
      <c r="F8" s="8">
        <f>VLOOKUP(A8,Dataset!A:X,22,FALSE)</f>
        <v>5.8</v>
      </c>
    </row>
    <row r="9" spans="1:7" ht="15" x14ac:dyDescent="0.25">
      <c r="A9" s="7" t="s">
        <v>8</v>
      </c>
      <c r="B9" s="11">
        <f>VLOOKUP(A9,Dataset!A:X,7,FALSE)</f>
        <v>4.9000000000000004</v>
      </c>
      <c r="C9" s="11">
        <f>VLOOKUP(A9,Dataset!A:X,14,FALSE)</f>
        <v>13.3</v>
      </c>
      <c r="D9" s="11">
        <f>VLOOKUP(A9,Dataset!A:X,18,FALSE)</f>
        <v>8.1</v>
      </c>
      <c r="E9" s="11">
        <f>VLOOKUP(A9,Dataset!A:X,20,FALSE)</f>
        <v>17</v>
      </c>
      <c r="F9" s="8">
        <f>VLOOKUP(A9,Dataset!A:X,22,FALSE)</f>
        <v>8.1</v>
      </c>
    </row>
    <row r="10" spans="1:7" ht="15" x14ac:dyDescent="0.25">
      <c r="A10" s="7" t="s">
        <v>11</v>
      </c>
      <c r="B10" s="11">
        <f>VLOOKUP(A10,Dataset!A:X,7,FALSE)</f>
        <v>9.4</v>
      </c>
      <c r="C10" s="11">
        <f>VLOOKUP(A10,Dataset!A:X,14,FALSE)</f>
        <v>28.3</v>
      </c>
      <c r="D10" s="11">
        <f>VLOOKUP(A10,Dataset!A:X,18,FALSE)</f>
        <v>16.100000000000001</v>
      </c>
      <c r="E10" s="11">
        <f>VLOOKUP(A10,Dataset!A:X,20,FALSE)</f>
        <v>32.799999999999997</v>
      </c>
      <c r="F10" s="8">
        <f>VLOOKUP(A10,Dataset!A:X,22,FALSE)</f>
        <v>16.100000000000001</v>
      </c>
    </row>
    <row r="11" spans="1:7" ht="15" x14ac:dyDescent="0.25">
      <c r="A11" s="7" t="s">
        <v>12</v>
      </c>
      <c r="B11" s="11">
        <f>VLOOKUP(A11,Dataset!A:X,7,FALSE)</f>
        <v>11.6</v>
      </c>
      <c r="C11" s="11">
        <f>VLOOKUP(A11,Dataset!A:X,14,FALSE)</f>
        <v>35.200000000000003</v>
      </c>
      <c r="D11" s="11">
        <f>VLOOKUP(A11,Dataset!A:X,18,FALSE)</f>
        <v>21.3</v>
      </c>
      <c r="E11" s="11">
        <f>VLOOKUP(A11,Dataset!A:X,20,FALSE)</f>
        <v>43</v>
      </c>
      <c r="F11" s="8">
        <f>VLOOKUP(A11,Dataset!A:X,22,FALSE)</f>
        <v>21.3</v>
      </c>
    </row>
    <row r="12" spans="1:7" ht="15" x14ac:dyDescent="0.25">
      <c r="A12" s="7" t="s">
        <v>14</v>
      </c>
      <c r="B12" s="11">
        <f>VLOOKUP(A12,Dataset!A:X,7,FALSE)</f>
        <v>18.399999999999999</v>
      </c>
      <c r="C12" s="11">
        <f>VLOOKUP(A12,Dataset!A:X,14,FALSE)</f>
        <v>55.6</v>
      </c>
      <c r="D12" s="11">
        <f>VLOOKUP(A12,Dataset!A:X,18,FALSE)</f>
        <v>33.799999999999997</v>
      </c>
      <c r="E12" s="11">
        <f>VLOOKUP(A12,Dataset!A:X,20,FALSE)</f>
        <v>67.900000000000006</v>
      </c>
      <c r="F12" s="8">
        <f>VLOOKUP(A12,Dataset!A:X,22,FALSE)</f>
        <v>33.799999999999997</v>
      </c>
    </row>
    <row r="13" spans="1:7" ht="15" x14ac:dyDescent="0.25">
      <c r="A13" s="7" t="s">
        <v>15</v>
      </c>
      <c r="B13" s="11">
        <f>VLOOKUP(A13,Dataset!A:X,7,FALSE)</f>
        <v>0</v>
      </c>
      <c r="C13" s="11">
        <f>VLOOKUP(A13,Dataset!A:X,14,FALSE)</f>
        <v>0</v>
      </c>
      <c r="D13" s="11">
        <f>VLOOKUP(A13,Dataset!A:X,18,FALSE)</f>
        <v>0</v>
      </c>
      <c r="E13" s="11">
        <f>VLOOKUP(A13,Dataset!A:X,20,FALSE)</f>
        <v>0</v>
      </c>
      <c r="F13" s="8">
        <f>VLOOKUP(A13,Dataset!A:X,22,FALSE)</f>
        <v>0</v>
      </c>
    </row>
    <row r="14" spans="1:7" ht="15" x14ac:dyDescent="0.25">
      <c r="A14" s="7" t="s">
        <v>16</v>
      </c>
      <c r="B14" s="11">
        <f>VLOOKUP(A14,Dataset!A:X,7,FALSE)</f>
        <v>21.9</v>
      </c>
      <c r="C14" s="11">
        <f>VLOOKUP(A14,Dataset!A:X,14,FALSE)</f>
        <v>61.5</v>
      </c>
      <c r="D14" s="11">
        <f>VLOOKUP(A14,Dataset!A:X,18,FALSE)</f>
        <v>40.1</v>
      </c>
      <c r="E14" s="11">
        <f>VLOOKUP(A14,Dataset!A:X,20,FALSE)</f>
        <v>76.599999999999994</v>
      </c>
      <c r="F14" s="8">
        <f>VLOOKUP(A14,Dataset!A:X,22,FALSE)</f>
        <v>40.1</v>
      </c>
    </row>
    <row r="15" spans="1:7" ht="15" x14ac:dyDescent="0.25">
      <c r="A15" s="7" t="s">
        <v>18</v>
      </c>
      <c r="B15" s="11">
        <f>VLOOKUP(A15,Dataset!A:X,7,FALSE)</f>
        <v>26.8</v>
      </c>
      <c r="C15" s="11">
        <f>VLOOKUP(A15,Dataset!A:X,14,FALSE)</f>
        <v>79.599999999999994</v>
      </c>
      <c r="D15" s="11">
        <f>VLOOKUP(A15,Dataset!A:X,18,FALSE)</f>
        <v>47.9</v>
      </c>
      <c r="E15" s="11">
        <f>VLOOKUP(A15,Dataset!A:X,20,FALSE)</f>
        <v>96.8</v>
      </c>
      <c r="F15" s="8">
        <f>VLOOKUP(A15,Dataset!A:X,22,FALSE)</f>
        <v>47.9</v>
      </c>
    </row>
    <row r="16" spans="1:7" ht="15" x14ac:dyDescent="0.25">
      <c r="A16" s="7" t="s">
        <v>20</v>
      </c>
      <c r="B16" s="11">
        <f>VLOOKUP(A16,Dataset!A:X,7,FALSE)</f>
        <v>28.5</v>
      </c>
      <c r="C16" s="11">
        <f>VLOOKUP(A16,Dataset!A:X,14,FALSE)</f>
        <v>85.4</v>
      </c>
      <c r="D16" s="11">
        <f>VLOOKUP(A16,Dataset!A:X,18,FALSE)</f>
        <v>52.3</v>
      </c>
      <c r="E16" s="11">
        <f>VLOOKUP(A16,Dataset!A:X,20,FALSE)</f>
        <v>106.1</v>
      </c>
      <c r="F16" s="8">
        <f>VLOOKUP(A16,Dataset!A:X,22,FALSE)</f>
        <v>52.3</v>
      </c>
    </row>
    <row r="17" spans="1:6" ht="15" x14ac:dyDescent="0.25">
      <c r="A17" s="7" t="s">
        <v>22</v>
      </c>
      <c r="B17" s="11">
        <f>VLOOKUP(A17,Dataset!A:X,7,FALSE)</f>
        <v>30.7</v>
      </c>
      <c r="C17" s="11">
        <f>VLOOKUP(A17,Dataset!A:X,14,FALSE)</f>
        <v>92.1</v>
      </c>
      <c r="D17" s="11">
        <f>VLOOKUP(A17,Dataset!A:X,18,FALSE)</f>
        <v>57</v>
      </c>
      <c r="E17" s="11">
        <f>VLOOKUP(A17,Dataset!A:X,20,FALSE)</f>
        <v>115.1</v>
      </c>
      <c r="F17" s="8">
        <f>VLOOKUP(A17,Dataset!A:X,22,FALSE)</f>
        <v>57</v>
      </c>
    </row>
    <row r="18" spans="1:6" ht="15" x14ac:dyDescent="0.25">
      <c r="A18" s="7" t="s">
        <v>23</v>
      </c>
      <c r="B18" s="11">
        <f>VLOOKUP(A18,Dataset!A:X,7,FALSE)</f>
        <v>33.799999999999997</v>
      </c>
      <c r="C18" s="11">
        <f>VLOOKUP(A18,Dataset!A:X,14,FALSE)</f>
        <v>101.3</v>
      </c>
      <c r="D18" s="11">
        <f>VLOOKUP(A18,Dataset!A:X,18,FALSE)</f>
        <v>61.4</v>
      </c>
      <c r="E18" s="11">
        <f>VLOOKUP(A18,Dataset!A:X,20,FALSE)</f>
        <v>124.4</v>
      </c>
      <c r="F18" s="8">
        <f>VLOOKUP(A18,Dataset!A:X,22,FALSE)</f>
        <v>61.4</v>
      </c>
    </row>
    <row r="19" spans="1:6" ht="15" x14ac:dyDescent="0.25">
      <c r="A19" s="7" t="s">
        <v>24</v>
      </c>
      <c r="B19" s="11">
        <f>VLOOKUP(A19,Dataset!A:X,7,FALSE)</f>
        <v>34.700000000000003</v>
      </c>
      <c r="C19" s="11">
        <f>VLOOKUP(A19,Dataset!A:X,14,FALSE)</f>
        <v>106.1</v>
      </c>
      <c r="D19" s="11">
        <f>VLOOKUP(A19,Dataset!A:X,18,FALSE)</f>
        <v>63.6</v>
      </c>
      <c r="E19" s="11">
        <f>VLOOKUP(A19,Dataset!A:X,20,FALSE)</f>
        <v>128.6</v>
      </c>
      <c r="F19" s="8">
        <f>VLOOKUP(A19,Dataset!A:X,22,FALSE)</f>
        <v>63.6</v>
      </c>
    </row>
    <row r="20" spans="1:6" ht="15" x14ac:dyDescent="0.25">
      <c r="A20" s="7" t="s">
        <v>28</v>
      </c>
      <c r="B20" s="11">
        <f>VLOOKUP(A20,Dataset!A:X,7,FALSE)</f>
        <v>0</v>
      </c>
      <c r="C20" s="11">
        <f>VLOOKUP(A20,Dataset!A:X,14,FALSE)</f>
        <v>0</v>
      </c>
      <c r="D20" s="11">
        <f>VLOOKUP(A20,Dataset!A:X,18,FALSE)</f>
        <v>0</v>
      </c>
      <c r="E20" s="11">
        <f>VLOOKUP(A20,Dataset!A:X,20,FALSE)</f>
        <v>0</v>
      </c>
      <c r="F20" s="8">
        <f>VLOOKUP(A20,Dataset!A:X,22,FALSE)</f>
        <v>0</v>
      </c>
    </row>
    <row r="21" spans="1:6" ht="15" x14ac:dyDescent="0.25">
      <c r="A21" s="7" t="s">
        <v>57</v>
      </c>
      <c r="B21" s="11">
        <f>VLOOKUP(A21,Dataset!A:X,7,FALSE)</f>
        <v>41.3</v>
      </c>
      <c r="C21" s="11">
        <f>VLOOKUP(A21,Dataset!A:X,14,FALSE)</f>
        <v>124.4</v>
      </c>
      <c r="D21" s="11">
        <f>VLOOKUP(A21,Dataset!A:X,18,FALSE)</f>
        <v>75</v>
      </c>
      <c r="E21" s="11">
        <f>VLOOKUP(A21,Dataset!A:X,20,FALSE)</f>
        <v>151.5</v>
      </c>
      <c r="F21" s="8">
        <f>VLOOKUP(A21,Dataset!A:X,22,FALSE)</f>
        <v>75</v>
      </c>
    </row>
    <row r="22" spans="1:6" ht="15" x14ac:dyDescent="0.25">
      <c r="A22" s="7" t="s">
        <v>58</v>
      </c>
      <c r="B22" s="11">
        <f>VLOOKUP(A22,Dataset!A:X,7,FALSE)</f>
        <v>-1</v>
      </c>
      <c r="C22" s="11">
        <f>VLOOKUP(A22,Dataset!A:X,14,FALSE)</f>
        <v>-1</v>
      </c>
      <c r="D22" s="11">
        <f>VLOOKUP(A22,Dataset!A:X,18,FALSE)</f>
        <v>-1</v>
      </c>
      <c r="E22" s="11">
        <f>VLOOKUP(A22,Dataset!A:X,20,FALSE)</f>
        <v>-1</v>
      </c>
      <c r="F22" s="8">
        <f>VLOOKUP(A22,Dataset!A:X,22,FALSE)</f>
        <v>-1</v>
      </c>
    </row>
    <row r="23" spans="1:6" ht="15" x14ac:dyDescent="0.25">
      <c r="A23" s="7" t="s">
        <v>31</v>
      </c>
      <c r="B23" s="11">
        <f>VLOOKUP(A23,Dataset!A:X,7,FALSE)</f>
        <v>45</v>
      </c>
      <c r="C23" s="11">
        <f>VLOOKUP(A23,Dataset!A:X,14,FALSE)</f>
        <v>133.4</v>
      </c>
      <c r="D23" s="11">
        <f>VLOOKUP(A23,Dataset!A:X,18,FALSE)</f>
        <v>79.400000000000006</v>
      </c>
      <c r="E23" s="11">
        <f>VLOOKUP(A23,Dataset!A:X,20,FALSE)</f>
        <v>160.9</v>
      </c>
      <c r="F23" s="8">
        <f>VLOOKUP(A23,Dataset!A:X,22,FALSE)</f>
        <v>79.400000000000006</v>
      </c>
    </row>
    <row r="24" spans="1:6" ht="15" x14ac:dyDescent="0.25">
      <c r="A24" s="7" t="s">
        <v>32</v>
      </c>
      <c r="B24" s="11">
        <f>VLOOKUP(A24,Dataset!A:X,7,FALSE)</f>
        <v>-1</v>
      </c>
      <c r="C24" s="11">
        <f>VLOOKUP(A24,Dataset!A:X,14,FALSE)</f>
        <v>-1</v>
      </c>
      <c r="D24" s="11">
        <f>VLOOKUP(A24,Dataset!A:X,18,FALSE)</f>
        <v>-1</v>
      </c>
      <c r="E24" s="11">
        <f>VLOOKUP(A24,Dataset!A:X,20,FALSE)</f>
        <v>-1</v>
      </c>
      <c r="F24" s="8">
        <f>VLOOKUP(A24,Dataset!A:X,22,FALSE)</f>
        <v>-1</v>
      </c>
    </row>
    <row r="25" spans="1:6" ht="15" x14ac:dyDescent="0.25">
      <c r="A25" s="7" t="s">
        <v>34</v>
      </c>
      <c r="B25" s="11">
        <f>VLOOKUP(A25,Dataset!A:X,7,FALSE)</f>
        <v>43.3</v>
      </c>
      <c r="C25" s="11">
        <f>VLOOKUP(A25,Dataset!A:X,14,FALSE)</f>
        <v>128.6</v>
      </c>
      <c r="D25" s="11">
        <f>VLOOKUP(A25,Dataset!A:X,18,FALSE)</f>
        <v>79.400000000000006</v>
      </c>
      <c r="E25" s="11">
        <f>VLOOKUP(A25,Dataset!A:X,20,FALSE)</f>
        <v>160.9</v>
      </c>
      <c r="F25" s="8">
        <f>VLOOKUP(A25,Dataset!A:X,22,FALSE)</f>
        <v>79.400000000000006</v>
      </c>
    </row>
    <row r="26" spans="1:6" ht="15" x14ac:dyDescent="0.25">
      <c r="A26" s="7" t="s">
        <v>37</v>
      </c>
      <c r="B26" s="11">
        <f>VLOOKUP(A26,Dataset!A:X,7,FALSE)</f>
        <v>49.1</v>
      </c>
      <c r="C26" s="11">
        <f>VLOOKUP(A26,Dataset!A:X,14,FALSE)</f>
        <v>146.80000000000001</v>
      </c>
      <c r="D26" s="11">
        <f>VLOOKUP(A26,Dataset!A:X,18,FALSE)</f>
        <v>90.9</v>
      </c>
      <c r="E26" s="11">
        <f>VLOOKUP(A26,Dataset!A:X,20,FALSE)</f>
        <v>183.5</v>
      </c>
      <c r="F26" s="8">
        <f>VLOOKUP(A26,Dataset!A:X,22,FALSE)</f>
        <v>90.9</v>
      </c>
    </row>
    <row r="27" spans="1:6" ht="15" x14ac:dyDescent="0.25">
      <c r="A27" s="7" t="s">
        <v>39</v>
      </c>
      <c r="B27" s="11">
        <f>VLOOKUP(A27,Dataset!A:X,7,FALSE)</f>
        <v>51.8</v>
      </c>
      <c r="C27" s="11">
        <f>VLOOKUP(A27,Dataset!A:X,14,FALSE)</f>
        <v>156.4</v>
      </c>
      <c r="D27" s="11">
        <f>VLOOKUP(A27,Dataset!A:X,18,FALSE)</f>
        <v>93.1</v>
      </c>
      <c r="E27" s="11">
        <f>VLOOKUP(A27,Dataset!A:X,20,FALSE)</f>
        <v>188.1</v>
      </c>
      <c r="F27" s="8">
        <f>VLOOKUP(A27,Dataset!A:X,22,FALSE)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MAX(B6:B28)</f>
        <v>51.8</v>
      </c>
      <c r="C29" s="30">
        <f t="shared" ref="C29:F29" si="1">MAX(C6:C28)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4"/>
  <sheetViews>
    <sheetView topLeftCell="A4" zoomScaleNormal="100" workbookViewId="0">
      <selection activeCell="I11" sqref="I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6" s="39" customFormat="1" ht="21" x14ac:dyDescent="0.35">
      <c r="A1" s="40" t="s">
        <v>56</v>
      </c>
      <c r="B1" s="39" t="s">
        <v>173</v>
      </c>
    </row>
    <row r="2" spans="1:16" customFormat="1" ht="12.75" x14ac:dyDescent="0.2"/>
    <row r="3" spans="1:16" s="2" customFormat="1" x14ac:dyDescent="0.25">
      <c r="B3" s="1"/>
    </row>
    <row r="4" spans="1:16" s="2" customFormat="1" x14ac:dyDescent="0.25">
      <c r="B4" s="1" t="s">
        <v>150</v>
      </c>
    </row>
    <row r="5" spans="1:16" ht="18.75" x14ac:dyDescent="0.3">
      <c r="A5" s="41" t="s">
        <v>53</v>
      </c>
      <c r="B5" s="38"/>
    </row>
    <row r="6" spans="1:16" ht="18.75" x14ac:dyDescent="0.3">
      <c r="A6" s="41" t="s">
        <v>152</v>
      </c>
      <c r="B6" s="46" t="s">
        <v>183</v>
      </c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8"/>
      <c r="O6" s="45"/>
      <c r="P6" s="45"/>
    </row>
    <row r="7" spans="1:16" ht="18.75" x14ac:dyDescent="0.3">
      <c r="A7" s="41"/>
      <c r="B7" s="38"/>
    </row>
    <row r="9" spans="1:16" ht="23.25" x14ac:dyDescent="0.35">
      <c r="A9" s="17" t="s">
        <v>164</v>
      </c>
      <c r="I9" s="2"/>
      <c r="J9" s="2"/>
    </row>
    <row r="10" spans="1:16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6" x14ac:dyDescent="0.2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6" ht="23.25" x14ac:dyDescent="0.35">
      <c r="A14" s="17" t="s">
        <v>161</v>
      </c>
    </row>
    <row r="15" spans="1:16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6" x14ac:dyDescent="0.25">
      <c r="A16" s="7" t="s">
        <v>120</v>
      </c>
      <c r="B16" s="11" t="str">
        <f>TRIM(MID(SUBSTITUTE(A16, "-", REPT(" ", LEN(A16))), 1 + (1-1)*LEN(A16), LEN(A16)))</f>
        <v>20000</v>
      </c>
      <c r="C16" s="1" t="str">
        <f>TRIM(MID(SUBSTITUTE(A16, "-", REPT(" ", LEN(A16))), 1 + (2-1)*LEN(A16), LEN(A16)))</f>
        <v>Monday</v>
      </c>
      <c r="D16" s="11" t="str">
        <f>TRIM(MID(SUBSTITUTE(A16, "-", REPT(" ", LEN(A16))), 1 + (3-1)*LEN(A16), LEN(A16)))</f>
        <v>0</v>
      </c>
      <c r="E16" s="1" t="str">
        <f>TRIM(MID(SUBSTITUTE(A16, "-", REPT(" ", LEN(A16))), 1 + (4-1)*LEN(A16), LEN(A16)))</f>
        <v>Sunday</v>
      </c>
      <c r="F16" s="11" t="str">
        <f>TRIM(MID(SUBSTITUTE(A16, "-", REPT(" ", LEN(A16))), 1 + (5-1)*LEN(A16), LEN(A16)))</f>
        <v>24</v>
      </c>
    </row>
    <row r="17" spans="1:6" x14ac:dyDescent="0.25">
      <c r="A17" s="7" t="s">
        <v>121</v>
      </c>
      <c r="B17" s="11" t="str">
        <f t="shared" ref="B17:B54" si="0">TRIM(MID(SUBSTITUTE(A17, "-", REPT(" ", LEN(A17))), 1 + (1-1)*LEN(A17), LEN(A17)))</f>
        <v>20002</v>
      </c>
      <c r="C17" s="1" t="str">
        <f t="shared" ref="C17:C54" si="1">TRIM(MID(SUBSTITUTE(A17, "-", REPT(" ", LEN(A17))), 1 + (2-1)*LEN(A17), LEN(A17)))</f>
        <v>Monday</v>
      </c>
      <c r="D17" s="11" t="str">
        <f t="shared" ref="D17:D54" si="2">TRIM(MID(SUBSTITUTE(A17, "-", REPT(" ", LEN(A17))), 1 + (3-1)*LEN(A17), LEN(A17)))</f>
        <v>0</v>
      </c>
      <c r="E17" s="1" t="str">
        <f t="shared" ref="E17:E54" si="3">TRIM(MID(SUBSTITUTE(A17, "-", REPT(" ", LEN(A17))), 1 + (4-1)*LEN(A17), LEN(A17)))</f>
        <v>Sunday</v>
      </c>
      <c r="F17" s="11" t="str">
        <f t="shared" ref="F17:F54" si="4">TRIM(MID(SUBSTITUTE(A17, "-", REPT(" ", LEN(A17))), 1 + (5-1)*LEN(A17), LEN(A17)))</f>
        <v>24</v>
      </c>
    </row>
    <row r="18" spans="1:6" x14ac:dyDescent="0.25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119</v>
      </c>
      <c r="B54" s="12" t="str">
        <f t="shared" si="0"/>
        <v>21016</v>
      </c>
      <c r="C54" s="12" t="str">
        <f t="shared" si="1"/>
        <v>Monday</v>
      </c>
      <c r="D54" s="12" t="str">
        <f t="shared" si="2"/>
        <v>0</v>
      </c>
      <c r="E54" s="12" t="str">
        <f t="shared" si="3"/>
        <v>Sunday</v>
      </c>
      <c r="F54" s="12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zoomScaleNormal="100" workbookViewId="0">
      <selection activeCell="H15" sqref="H15"/>
    </sheetView>
  </sheetViews>
  <sheetFormatPr defaultColWidth="11" defaultRowHeight="12.75" x14ac:dyDescent="0.2"/>
  <cols>
    <col min="1" max="1" width="31.33203125" style="2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1" ht="21" x14ac:dyDescent="0.35">
      <c r="A1" s="40" t="s">
        <v>85</v>
      </c>
      <c r="B1" s="39" t="s">
        <v>166</v>
      </c>
    </row>
    <row r="2" spans="1:11" ht="18.75" x14ac:dyDescent="0.3">
      <c r="B2" s="38" t="s">
        <v>165</v>
      </c>
    </row>
    <row r="5" spans="1:11" ht="15" x14ac:dyDescent="0.25">
      <c r="B5" s="1" t="s">
        <v>150</v>
      </c>
    </row>
    <row r="6" spans="1:11" ht="15" x14ac:dyDescent="0.25">
      <c r="A6" s="3" t="s">
        <v>53</v>
      </c>
      <c r="B6" s="49" t="s">
        <v>181</v>
      </c>
      <c r="C6" s="50"/>
      <c r="D6" s="50"/>
      <c r="E6" s="50"/>
      <c r="F6" s="50"/>
      <c r="G6" s="50"/>
      <c r="H6" s="50"/>
      <c r="I6" s="50"/>
      <c r="J6" s="50"/>
      <c r="K6" s="51"/>
    </row>
    <row r="7" spans="1:11" ht="15" x14ac:dyDescent="0.25">
      <c r="A7" s="3" t="s">
        <v>152</v>
      </c>
      <c r="B7" s="52" t="s">
        <v>182</v>
      </c>
      <c r="C7" s="53"/>
      <c r="D7" s="53"/>
      <c r="E7" s="53"/>
      <c r="F7" s="53"/>
      <c r="G7" s="53"/>
      <c r="H7" s="53"/>
      <c r="I7" s="53"/>
      <c r="J7" s="53"/>
      <c r="K7" s="54"/>
    </row>
    <row r="10" spans="1:11" ht="23.25" x14ac:dyDescent="0.35">
      <c r="A10" s="17" t="s">
        <v>161</v>
      </c>
    </row>
    <row r="11" spans="1:11" ht="15" x14ac:dyDescent="0.25">
      <c r="A11" s="31" t="s">
        <v>86</v>
      </c>
      <c r="B11" s="16" t="s">
        <v>87</v>
      </c>
      <c r="C11" s="16" t="s">
        <v>88</v>
      </c>
      <c r="D11" s="16" t="s">
        <v>178</v>
      </c>
    </row>
    <row r="12" spans="1:11" ht="15" x14ac:dyDescent="0.25">
      <c r="A12" s="31">
        <v>44927</v>
      </c>
      <c r="B12" s="16" t="s">
        <v>59</v>
      </c>
      <c r="C12" s="16">
        <v>200</v>
      </c>
      <c r="D12" s="24">
        <f>IFERROR(C12,20)</f>
        <v>200</v>
      </c>
    </row>
    <row r="13" spans="1:11" ht="15" x14ac:dyDescent="0.25">
      <c r="A13" s="31">
        <v>44928</v>
      </c>
      <c r="B13" s="16" t="s">
        <v>60</v>
      </c>
      <c r="C13" s="16" t="e">
        <v>#N/A</v>
      </c>
      <c r="D13" s="24">
        <f t="shared" ref="D13:D21" si="0">IFERROR(C13,20)</f>
        <v>20</v>
      </c>
    </row>
    <row r="14" spans="1:11" ht="15" x14ac:dyDescent="0.25">
      <c r="A14" s="31">
        <v>44929</v>
      </c>
      <c r="B14" s="16" t="s">
        <v>61</v>
      </c>
      <c r="C14" s="16">
        <v>50</v>
      </c>
      <c r="D14" s="24">
        <f t="shared" si="0"/>
        <v>50</v>
      </c>
    </row>
    <row r="15" spans="1:11" ht="15" x14ac:dyDescent="0.25">
      <c r="A15" s="31">
        <v>44930</v>
      </c>
      <c r="B15" s="16" t="s">
        <v>62</v>
      </c>
      <c r="C15" s="16" t="e">
        <v>#N/A</v>
      </c>
      <c r="D15" s="24">
        <f t="shared" si="0"/>
        <v>20</v>
      </c>
    </row>
    <row r="16" spans="1:11" ht="15" x14ac:dyDescent="0.25">
      <c r="A16" s="31">
        <v>44931</v>
      </c>
      <c r="B16" s="16" t="s">
        <v>63</v>
      </c>
      <c r="C16" s="16">
        <v>10</v>
      </c>
      <c r="D16" s="24">
        <f t="shared" si="0"/>
        <v>10</v>
      </c>
    </row>
    <row r="17" spans="1:4" ht="15" x14ac:dyDescent="0.25">
      <c r="A17" s="31">
        <v>44932</v>
      </c>
      <c r="B17" s="16" t="s">
        <v>153</v>
      </c>
      <c r="C17" s="16">
        <v>150</v>
      </c>
      <c r="D17" s="24">
        <f t="shared" si="0"/>
        <v>150</v>
      </c>
    </row>
    <row r="18" spans="1:4" ht="15" x14ac:dyDescent="0.25">
      <c r="A18" s="31">
        <v>44933</v>
      </c>
      <c r="B18" s="16" t="s">
        <v>154</v>
      </c>
      <c r="C18" s="16">
        <v>80</v>
      </c>
      <c r="D18" s="24">
        <f t="shared" si="0"/>
        <v>80</v>
      </c>
    </row>
    <row r="19" spans="1:4" ht="15" x14ac:dyDescent="0.25">
      <c r="A19" s="31">
        <v>44934</v>
      </c>
      <c r="B19" s="16" t="s">
        <v>155</v>
      </c>
      <c r="C19" s="16" t="e">
        <v>#N/A</v>
      </c>
      <c r="D19" s="24">
        <f t="shared" si="0"/>
        <v>20</v>
      </c>
    </row>
    <row r="20" spans="1:4" ht="15" x14ac:dyDescent="0.25">
      <c r="A20" s="31">
        <v>44935</v>
      </c>
      <c r="B20" s="16" t="s">
        <v>156</v>
      </c>
      <c r="C20" s="16">
        <v>30</v>
      </c>
      <c r="D20" s="24">
        <f t="shared" si="0"/>
        <v>30</v>
      </c>
    </row>
    <row r="21" spans="1:4" ht="15" x14ac:dyDescent="0.25">
      <c r="A21" s="31">
        <v>44936</v>
      </c>
      <c r="B21" s="16" t="s">
        <v>157</v>
      </c>
      <c r="C21" s="16" t="e">
        <v>#N/A</v>
      </c>
      <c r="D21" s="24">
        <f t="shared" si="0"/>
        <v>20</v>
      </c>
    </row>
    <row r="22" spans="1:4" ht="15" x14ac:dyDescent="0.25">
      <c r="B22" s="16" t="s">
        <v>158</v>
      </c>
      <c r="C22" s="24"/>
      <c r="D22" s="25">
        <f>SUM(D12:D21)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topLeftCell="A16" zoomScaleNormal="100" workbookViewId="0">
      <selection activeCell="C35" sqref="C3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0" t="s">
        <v>98</v>
      </c>
      <c r="B1" s="39" t="s">
        <v>174</v>
      </c>
    </row>
    <row r="3" spans="1:14" ht="15" x14ac:dyDescent="0.25">
      <c r="B3" s="1" t="s">
        <v>150</v>
      </c>
    </row>
    <row r="4" spans="1:14" ht="18.75" x14ac:dyDescent="0.3">
      <c r="A4" s="41" t="s">
        <v>53</v>
      </c>
      <c r="B4" s="1"/>
      <c r="D4" s="55" t="s">
        <v>179</v>
      </c>
    </row>
    <row r="5" spans="1:14" ht="18.75" x14ac:dyDescent="0.3">
      <c r="A5" s="41" t="s">
        <v>152</v>
      </c>
      <c r="B5" s="1"/>
      <c r="D5" s="58" t="s">
        <v>180</v>
      </c>
      <c r="E5" s="59"/>
      <c r="F5" s="59"/>
      <c r="G5" s="60"/>
    </row>
    <row r="6" spans="1:14" ht="15" x14ac:dyDescent="0.25">
      <c r="A6" s="3"/>
      <c r="B6" s="1"/>
    </row>
    <row r="8" spans="1:14" ht="23.25" x14ac:dyDescent="0.35">
      <c r="A8" s="17" t="s">
        <v>161</v>
      </c>
      <c r="M8" s="17" t="s">
        <v>162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167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42">
        <f ca="1">VLOOKUP(VLOOKUP(C23, $M$10:$N$18,13, FALSE), $A$10:$J$18,2, FALSE)</f>
        <v>0</v>
      </c>
    </row>
    <row r="24" spans="1:14" ht="15" x14ac:dyDescent="0.25">
      <c r="A24" s="7">
        <v>10100</v>
      </c>
      <c r="B24" s="11">
        <v>10104</v>
      </c>
      <c r="C24" s="42">
        <f t="shared" ref="C24:C35" ca="1" si="0">VLOOKUP(VLOOKUP(C24, $M$10:$N$18,13, FALSE), $A$10:$J$18,2, FALSE)</f>
        <v>0</v>
      </c>
    </row>
    <row r="25" spans="1:14" ht="15" x14ac:dyDescent="0.25">
      <c r="A25" s="7">
        <v>10108</v>
      </c>
      <c r="B25" s="11">
        <v>10102</v>
      </c>
      <c r="C25" s="42">
        <f t="shared" ca="1" si="0"/>
        <v>0</v>
      </c>
    </row>
    <row r="26" spans="1:14" ht="15" x14ac:dyDescent="0.25">
      <c r="A26" s="7">
        <v>10100</v>
      </c>
      <c r="B26" s="11">
        <v>10106</v>
      </c>
      <c r="C26" s="42">
        <f t="shared" ca="1" si="0"/>
        <v>0</v>
      </c>
    </row>
    <row r="27" spans="1:14" ht="15" x14ac:dyDescent="0.25">
      <c r="A27" s="7">
        <v>10108</v>
      </c>
      <c r="B27" s="11">
        <v>10110</v>
      </c>
      <c r="C27" s="42">
        <f t="shared" ca="1" si="0"/>
        <v>0</v>
      </c>
    </row>
    <row r="28" spans="1:14" ht="15" x14ac:dyDescent="0.25">
      <c r="A28" s="7">
        <v>10102</v>
      </c>
      <c r="B28" s="11">
        <v>10104</v>
      </c>
      <c r="C28" s="42">
        <f t="shared" ca="1" si="0"/>
        <v>0</v>
      </c>
    </row>
    <row r="29" spans="1:14" ht="15" x14ac:dyDescent="0.25">
      <c r="A29" s="7">
        <v>10106</v>
      </c>
      <c r="B29" s="11">
        <v>10108</v>
      </c>
      <c r="C29" s="42">
        <f t="shared" ca="1" si="0"/>
        <v>0</v>
      </c>
    </row>
    <row r="30" spans="1:14" ht="15" x14ac:dyDescent="0.25">
      <c r="A30" s="7">
        <v>10102</v>
      </c>
      <c r="B30" s="11">
        <v>10106</v>
      </c>
      <c r="C30" s="42">
        <f t="shared" ca="1" si="0"/>
        <v>0</v>
      </c>
    </row>
    <row r="31" spans="1:14" ht="15" x14ac:dyDescent="0.25">
      <c r="A31" s="7">
        <v>10110</v>
      </c>
      <c r="B31" s="11">
        <v>10114</v>
      </c>
      <c r="C31" s="42">
        <f t="shared" ca="1" si="0"/>
        <v>0</v>
      </c>
    </row>
    <row r="32" spans="1:14" ht="15" x14ac:dyDescent="0.25">
      <c r="A32" s="7">
        <v>10104</v>
      </c>
      <c r="B32" s="11">
        <v>10106</v>
      </c>
      <c r="C32" s="42">
        <f t="shared" ca="1" si="0"/>
        <v>0</v>
      </c>
    </row>
    <row r="33" spans="1:3" ht="15" x14ac:dyDescent="0.25">
      <c r="A33" s="7">
        <v>10110</v>
      </c>
      <c r="B33" s="11">
        <v>10112</v>
      </c>
      <c r="C33" s="42">
        <f t="shared" ca="1" si="0"/>
        <v>0</v>
      </c>
    </row>
    <row r="34" spans="1:3" ht="15" x14ac:dyDescent="0.25">
      <c r="A34" s="7">
        <v>10100</v>
      </c>
      <c r="B34" s="11">
        <v>10114</v>
      </c>
      <c r="C34" s="42">
        <f t="shared" ca="1" si="0"/>
        <v>0</v>
      </c>
    </row>
    <row r="35" spans="1:3" ht="15" x14ac:dyDescent="0.25">
      <c r="A35" s="9">
        <v>10112</v>
      </c>
      <c r="B35" s="12">
        <v>10116</v>
      </c>
      <c r="C35" s="61">
        <f t="shared" ca="1" si="0"/>
        <v>0</v>
      </c>
    </row>
  </sheetData>
  <mergeCells count="1">
    <mergeCell ref="D5:G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F1</cp:lastModifiedBy>
  <dcterms:created xsi:type="dcterms:W3CDTF">2015-02-10T17:33:11Z</dcterms:created>
  <dcterms:modified xsi:type="dcterms:W3CDTF">2024-10-22T16:16:20Z</dcterms:modified>
</cp:coreProperties>
</file>